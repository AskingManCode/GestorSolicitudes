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eso Historias de Usuario" sheetId="1" state="visible" r:id="rId2"/>
  </sheets>
  <definedNames>
    <definedName name="solver_eng" localSheetId="0" hidden="1">2</definedName>
    <definedName name="solver_est" localSheetId="0" hidden="1">1</definedName>
    <definedName name="solver_itr" localSheetId="0" hidden="1">2147483647</definedName>
    <definedName name="solver_neg" localSheetId="0" hidden="1">1</definedName>
    <definedName name="solver_nwt" localSheetId="0" hidden="1">1</definedName>
    <definedName name="solver_pre" localSheetId="0" hidden="1">1</definedName>
    <definedName name="solver_scl" localSheetId="0" hidden="1">2</definedName>
    <definedName name="solver_tim" localSheetId="0" hidden="1">2147483647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tc={611E00A3-43B2-F14E-D09F-562EC24FF30B}</author>
  </authors>
  <commentList>
    <comment ref="C4" authorId="0" xr:uid="{611E00A3-43B2-F14E-D09F-562EC24FF30B}">
      <text>
        <r>
          <rPr>
            <b/>
            <sz val="9"/>
            <rFont val="Tahoma"/>
          </rPr>
          <t>AskingMansOz:</t>
        </r>
        <r>
          <rPr>
            <sz val="9"/>
            <rFont val="Tahoma"/>
          </rPr>
          <t xml:space="preserve">
AskingMansOz:
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>
        </r>
      </text>
    </comment>
  </commentList>
</comments>
</file>

<file path=xl/sharedStrings.xml><?xml version="1.0" encoding="utf-8"?>
<sst xmlns="http://schemas.openxmlformats.org/spreadsheetml/2006/main" count="45" uniqueCount="45">
  <si>
    <t xml:space="preserve">Integrantes Proyecto</t>
  </si>
  <si>
    <t xml:space="preserve">Puntaje Obtenido</t>
  </si>
  <si>
    <t xml:space="preserve">Cantidad Historias de Usuario Asignadas</t>
  </si>
  <si>
    <t xml:space="preserve">Sebastián Jiménez Arrieta</t>
  </si>
  <si>
    <t xml:space="preserve">Aldo Burgos Argüello</t>
  </si>
  <si>
    <t xml:space="preserve">Cristian Monge Raabe</t>
  </si>
  <si>
    <t xml:space="preserve">Juan Hidalgo Muñoz</t>
  </si>
  <si>
    <t xml:space="preserve">Dorian Blanco Calderón</t>
  </si>
  <si>
    <t>Total</t>
  </si>
  <si>
    <t>Modulo</t>
  </si>
  <si>
    <t>ID</t>
  </si>
  <si>
    <t xml:space="preserve">Historia de Usuario</t>
  </si>
  <si>
    <t xml:space="preserve">Story Points</t>
  </si>
  <si>
    <t xml:space="preserve">Asignado a</t>
  </si>
  <si>
    <t>Usuarios</t>
  </si>
  <si>
    <t>USR1</t>
  </si>
  <si>
    <t xml:space="preserve">Pantalla de Login de Usuario</t>
  </si>
  <si>
    <t>USR2</t>
  </si>
  <si>
    <t xml:space="preserve">Pantalla de Bienvenida</t>
  </si>
  <si>
    <t>USR3</t>
  </si>
  <si>
    <t xml:space="preserve">Plantilla Global del Sitio</t>
  </si>
  <si>
    <t>USR4</t>
  </si>
  <si>
    <t xml:space="preserve">Pantalla para Administrar Usuarios</t>
  </si>
  <si>
    <t>Solicitudes</t>
  </si>
  <si>
    <t>SOL1</t>
  </si>
  <si>
    <t xml:space="preserve">Pantalla para Administrar Solicitudes</t>
  </si>
  <si>
    <t>SOL2</t>
  </si>
  <si>
    <t xml:space="preserve">Pantalla para Administrar Desglose de Solicitudes</t>
  </si>
  <si>
    <t>SOL3</t>
  </si>
  <si>
    <t xml:space="preserve">Pantalla para Administrar Representantes</t>
  </si>
  <si>
    <t>SOL4</t>
  </si>
  <si>
    <t xml:space="preserve">Pantalla para Administrar Estados de Solicitudes</t>
  </si>
  <si>
    <t>SOL5</t>
  </si>
  <si>
    <t xml:space="preserve">Proceso Automático de Vencimiento de Solicitudes</t>
  </si>
  <si>
    <t>SOL6</t>
  </si>
  <si>
    <t xml:space="preserve">Proceso de Notificación de Cambios de Estado</t>
  </si>
  <si>
    <t>SOL7</t>
  </si>
  <si>
    <t xml:space="preserve">Reporte de Facturación Mensual por Solicitudes</t>
  </si>
  <si>
    <t>Tareas</t>
  </si>
  <si>
    <t>TAR1</t>
  </si>
  <si>
    <t xml:space="preserve">Pantalla para Administrar Tareas de Solicitudes</t>
  </si>
  <si>
    <t>TAR2</t>
  </si>
  <si>
    <t xml:space="preserve">Reporte de Tareas por Usuario y Mes</t>
  </si>
  <si>
    <t>TAR3</t>
  </si>
  <si>
    <t xml:space="preserve">Reporte de Tareas por Solicitud y Mes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</si>
</sst>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sz val="11.000000"/>
      <color rgb="FF9C6500"/>
      <name val="Calibri"/>
    </font>
    <font>
      <u/>
      <sz val="11.000000"/>
      <color theme="1"/>
      <name val="Calibri"/>
    </font>
    <font>
      <sz val="11.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49"/>
      </patternFill>
    </fill>
    <fill>
      <patternFill patternType="solid">
        <fgColor theme="4" tint="0.39989999999999998"/>
        <bgColor indexed="24"/>
      </patternFill>
    </fill>
    <fill>
      <patternFill patternType="solid">
        <fgColor rgb="FFFFEB9C"/>
        <bgColor indexed="26"/>
      </patternFill>
    </fill>
    <fill>
      <patternFill patternType="solid">
        <fgColor theme="0" tint="-0.14999999999999999"/>
        <bgColor rgb="FFD6DCE5"/>
      </patternFill>
    </fill>
    <fill>
      <patternFill patternType="solid">
        <fgColor rgb="FF92D050"/>
        <bgColor indexed="55"/>
      </patternFill>
    </fill>
    <fill>
      <patternFill patternType="solid">
        <fgColor theme="3" tint="0.79990000000000006"/>
        <bgColor rgb="FFD9D9D9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0000000000006"/>
        <bgColor rgb="FFD6DCE5"/>
      </patternFill>
    </fill>
  </fills>
  <borders count="20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ck">
        <color auto="1"/>
      </bottom>
      <diagonal style="none"/>
    </border>
    <border>
      <left style="none"/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ck">
        <color auto="1"/>
      </bottom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thick">
        <color theme="1"/>
      </left>
      <right style="none"/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thick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ck">
        <color theme="1"/>
      </bottom>
      <diagonal style="none"/>
    </border>
    <border>
      <left style="thick">
        <color theme="1"/>
      </left>
      <right style="none"/>
      <top style="thin">
        <color theme="1"/>
      </top>
      <bottom style="thick">
        <color theme="1"/>
      </bottom>
      <diagonal style="none"/>
    </border>
    <border>
      <left style="thick">
        <color auto="1"/>
      </left>
      <right style="thick">
        <color theme="1"/>
      </right>
      <top style="none"/>
      <bottom style="thick">
        <color auto="1"/>
      </bottom>
      <diagonal style="none"/>
    </border>
    <border>
      <left style="thick">
        <color theme="1"/>
      </left>
      <right style="thick">
        <color theme="1"/>
      </right>
      <top style="none"/>
      <bottom style="thick">
        <color theme="1"/>
      </bottom>
      <diagonal style="none"/>
    </border>
    <border>
      <left style="none"/>
      <right style="thick">
        <color theme="1"/>
      </right>
      <top style="none"/>
      <bottom style="thick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1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horizontal="center"/>
      <protection hidden="0" locked="1"/>
    </xf>
    <xf fontId="2" fillId="2" borderId="1" numFmtId="0" xfId="0" applyFont="1" applyFill="1" applyBorder="1" applyAlignment="1" applyProtection="0">
      <alignment horizontal="center"/>
      <protection hidden="0" locked="1"/>
    </xf>
    <xf fontId="2" fillId="2" borderId="1" numFmtId="0" xfId="0" applyFont="1" applyFill="1" applyBorder="1" applyAlignment="1" applyProtection="0">
      <alignment horizontal="center" vertical="center"/>
      <protection hidden="0" locked="1"/>
    </xf>
    <xf fontId="2" fillId="3" borderId="2" numFmtId="0" xfId="0" applyFont="1" applyFill="1" applyBorder="1" applyAlignment="1" applyProtection="0">
      <alignment horizontal="center" vertical="center"/>
      <protection hidden="0" locked="1"/>
    </xf>
    <xf fontId="3" fillId="4" borderId="3" numFmtId="0" xfId="0" applyFont="1" applyFill="1" applyBorder="1" applyAlignment="1" applyProtection="0">
      <alignment horizontal="center" vertical="center"/>
      <protection hidden="0" locked="1"/>
    </xf>
    <xf fontId="0" fillId="5" borderId="2" numFmtId="0" xfId="0" applyFill="1" applyBorder="1" applyAlignment="1" applyProtection="0">
      <alignment horizontal="center" vertical="center"/>
      <protection hidden="0" locked="1"/>
    </xf>
    <xf fontId="2" fillId="3" borderId="4" numFmtId="0" xfId="0" applyFont="1" applyFill="1" applyBorder="1" applyAlignment="1" applyProtection="0">
      <alignment horizontal="center" vertical="center"/>
      <protection hidden="0" locked="1"/>
    </xf>
    <xf fontId="2" fillId="3" borderId="5" numFmtId="0" xfId="0" applyFont="1" applyFill="1" applyBorder="1" applyAlignment="1" applyProtection="0">
      <alignment horizontal="center" vertical="center"/>
      <protection hidden="0" locked="1"/>
    </xf>
    <xf fontId="0" fillId="5" borderId="6" numFmtId="0" xfId="0" applyFill="1" applyBorder="1" applyAlignment="1" applyProtection="0">
      <alignment horizontal="center" vertical="center"/>
      <protection hidden="0" locked="1"/>
    </xf>
    <xf fontId="4" fillId="0" borderId="0" numFmtId="0" xfId="0" applyFont="1" applyProtection="0">
      <protection hidden="0" locked="1"/>
    </xf>
    <xf fontId="2" fillId="6" borderId="1" numFmtId="0" xfId="0" applyFont="1" applyFill="1" applyBorder="1" applyAlignment="1" applyProtection="0">
      <alignment horizontal="center" vertical="center"/>
      <protection hidden="0" locked="1"/>
    </xf>
    <xf fontId="2" fillId="6" borderId="7" numFmtId="0" xfId="0" applyFont="1" applyFill="1" applyBorder="1" applyAlignment="1" applyProtection="0">
      <alignment horizontal="center" vertical="center"/>
      <protection hidden="0" locked="1"/>
    </xf>
    <xf fontId="0" fillId="7" borderId="2" numFmtId="0" xfId="0" applyFill="1" applyBorder="1" applyAlignment="1" applyProtection="0">
      <alignment horizontal="left" vertical="center"/>
      <protection hidden="0" locked="1"/>
    </xf>
    <xf fontId="2" fillId="7" borderId="3" numFmtId="0" xfId="0" applyFont="1" applyFill="1" applyBorder="1" applyAlignment="1" applyProtection="0">
      <alignment horizontal="center" vertical="center"/>
      <protection hidden="0" locked="1"/>
    </xf>
    <xf fontId="5" fillId="8" borderId="8" numFmtId="0" xfId="0" applyFont="1" applyFill="1" applyBorder="1" applyAlignment="1" applyProtection="0">
      <alignment horizontal="center" vertical="center"/>
      <protection hidden="0" locked="1"/>
    </xf>
    <xf fontId="2" fillId="7" borderId="2" numFmtId="0" xfId="0" applyFont="1" applyFill="1" applyBorder="1" applyAlignment="1" applyProtection="0">
      <alignment horizontal="center" vertical="center"/>
      <protection hidden="0" locked="1"/>
    </xf>
    <xf fontId="0" fillId="7" borderId="4" numFmtId="0" xfId="0" applyFill="1" applyBorder="1" applyAlignment="1" applyProtection="0">
      <alignment horizontal="left" vertical="center"/>
      <protection hidden="0" locked="1"/>
    </xf>
    <xf fontId="2" fillId="7" borderId="9" numFmtId="0" xfId="0" applyFont="1" applyFill="1" applyBorder="1" applyAlignment="1" applyProtection="0">
      <alignment horizontal="center" vertical="center"/>
      <protection hidden="0" locked="1"/>
    </xf>
    <xf fontId="5" fillId="8" borderId="10" numFmtId="0" xfId="0" applyFont="1" applyFill="1" applyBorder="1" applyAlignment="1" applyProtection="0">
      <alignment horizontal="center" vertical="center"/>
      <protection hidden="0" locked="1"/>
    </xf>
    <xf fontId="0" fillId="7" borderId="11" numFmtId="0" xfId="0" applyFill="1" applyBorder="1" applyAlignment="1" applyProtection="0">
      <alignment horizontal="left" vertical="center"/>
      <protection hidden="0" locked="1"/>
    </xf>
    <xf fontId="2" fillId="7" borderId="12" numFmtId="0" xfId="0" applyFont="1" applyFill="1" applyBorder="1" applyAlignment="1" applyProtection="0">
      <alignment horizontal="center" vertical="center"/>
      <protection hidden="0" locked="1"/>
    </xf>
    <xf fontId="5" fillId="8" borderId="13" numFmtId="0" xfId="0" applyFont="1" applyFill="1" applyBorder="1" applyAlignment="1" applyProtection="0">
      <alignment horizontal="center" vertical="center"/>
      <protection hidden="0" locked="1"/>
    </xf>
    <xf fontId="2" fillId="7" borderId="6" numFmtId="0" xfId="0" applyFont="1" applyFill="1" applyBorder="1" applyAlignment="1" applyProtection="0">
      <alignment horizontal="center" vertical="center"/>
      <protection hidden="0" locked="1"/>
    </xf>
    <xf fontId="0" fillId="9" borderId="2" numFmtId="0" xfId="0" applyFill="1" applyBorder="1" applyAlignment="1" applyProtection="0">
      <alignment horizontal="left" vertical="center"/>
      <protection hidden="0" locked="1"/>
    </xf>
    <xf fontId="2" fillId="9" borderId="3" numFmtId="0" xfId="0" applyFont="1" applyFill="1" applyBorder="1" applyAlignment="1" applyProtection="0">
      <alignment horizontal="center" vertical="center"/>
      <protection hidden="0" locked="1"/>
    </xf>
    <xf fontId="2" fillId="9" borderId="14" numFmtId="0" xfId="0" applyFont="1" applyFill="1" applyBorder="1" applyAlignment="1" applyProtection="0">
      <alignment horizontal="center" vertical="center"/>
      <protection hidden="0" locked="1"/>
    </xf>
    <xf fontId="0" fillId="10" borderId="2" numFmtId="0" xfId="0" applyFill="1" applyBorder="1" applyAlignment="1" applyProtection="0">
      <alignment horizontal="left" vertical="center"/>
      <protection hidden="0" locked="1"/>
    </xf>
    <xf fontId="2" fillId="10" borderId="3" numFmtId="0" xfId="0" applyFont="1" applyFill="1" applyBorder="1" applyAlignment="1" applyProtection="0">
      <alignment horizontal="center" vertical="center"/>
      <protection hidden="0" locked="1"/>
    </xf>
    <xf fontId="5" fillId="9" borderId="8" numFmtId="0" xfId="0" applyFont="1" applyFill="1" applyBorder="1" applyAlignment="1" applyProtection="0">
      <alignment horizontal="center" vertical="center"/>
      <protection hidden="0" locked="1"/>
    </xf>
    <xf fontId="0" fillId="10" borderId="4" numFmtId="0" xfId="0" applyFill="1" applyBorder="1" applyAlignment="1" applyProtection="0">
      <alignment horizontal="left" vertical="center"/>
      <protection hidden="0" locked="1"/>
    </xf>
    <xf fontId="2" fillId="10" borderId="9" numFmtId="0" xfId="0" applyFont="1" applyFill="1" applyBorder="1" applyAlignment="1" applyProtection="0">
      <alignment horizontal="center" vertical="center"/>
      <protection hidden="0" locked="1"/>
    </xf>
    <xf fontId="5" fillId="9" borderId="10" numFmtId="0" xfId="0" applyFont="1" applyFill="1" applyBorder="1" applyAlignment="1" applyProtection="0">
      <alignment horizontal="center" vertical="center"/>
      <protection hidden="0" locked="1"/>
    </xf>
    <xf fontId="0" fillId="10" borderId="5" numFmtId="0" xfId="0" applyFill="1" applyBorder="1" applyAlignment="1" applyProtection="0">
      <alignment horizontal="left" vertical="center"/>
      <protection hidden="0" locked="1"/>
    </xf>
    <xf fontId="2" fillId="10" borderId="15" numFmtId="0" xfId="0" applyFont="1" applyFill="1" applyBorder="1" applyAlignment="1" applyProtection="0">
      <alignment horizontal="center" vertical="center"/>
      <protection hidden="0" locked="1"/>
    </xf>
    <xf fontId="5" fillId="9" borderId="16" numFmtId="0" xfId="0" applyFont="1" applyFill="1" applyBorder="1" applyAlignment="1" applyProtection="0">
      <alignment horizontal="center" vertical="center"/>
      <protection hidden="0" locked="1"/>
    </xf>
    <xf fontId="2" fillId="9" borderId="17" numFmtId="0" xfId="0" applyFont="1" applyFill="1" applyBorder="1" applyAlignment="1" applyProtection="0">
      <alignment horizontal="center" vertical="center"/>
      <protection hidden="0" locked="1"/>
    </xf>
    <xf fontId="0" fillId="7" borderId="13" numFmtId="0" xfId="0" applyFill="1" applyBorder="1" applyAlignment="1" applyProtection="0">
      <alignment horizontal="left" vertical="center"/>
      <protection hidden="0" locked="1"/>
    </xf>
    <xf fontId="2" fillId="6" borderId="18" numFmtId="0" xfId="0" applyFont="1" applyFill="1" applyBorder="1" applyAlignment="1" applyProtection="0">
      <alignment horizontal="center" vertical="center"/>
      <protection hidden="0" locked="1"/>
    </xf>
    <xf fontId="2" fillId="6" borderId="19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ingMansOz" id="{42AF77FE-EBC0-D0CA-E70E-7A78268B3A72}" userId="AskingMansOz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9-23T06:07:59.81Z" personId="{42AF77FE-EBC0-D0CA-E70E-7A78268B3A72}" id="{611E00A3-43B2-F14E-D09F-562EC24FF30B}" done="0">
    <text xml:space="preserve">AskingMansOz:
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J12" activeCellId="0" sqref="J12"/>
    </sheetView>
  </sheetViews>
  <sheetFormatPr defaultColWidth="8.88671875" defaultRowHeight="14.25"/>
  <cols>
    <col customWidth="1" min="2" max="2" style="1" width="33"/>
    <col customWidth="1" min="3" max="3" style="1" width="17.149999999999999"/>
    <col customWidth="1" min="4" max="4" style="1" width="47.710000000000001"/>
    <col bestFit="1" customWidth="1" min="5" max="5" style="2" width="11.28125"/>
    <col customWidth="1" min="6" max="6" style="1" width="25.8515625"/>
    <col customWidth="1" min="7" max="7" style="1" width="24.28125"/>
    <col customWidth="1" min="8" max="9" style="1" width="11.43"/>
    <col customWidth="1" min="10" max="10" style="1" width="20.280000000000001"/>
    <col customWidth="1" min="11" max="11" style="1" width="19.420000000000002"/>
    <col customWidth="1" min="12" max="12" style="1" width="18.789999999999999"/>
    <col customWidth="1" min="13" max="13" style="1" width="9.1099999999999994"/>
  </cols>
  <sheetData>
    <row r="2" ht="14.25" customHeight="1"/>
    <row r="3" ht="14.4">
      <c r="B3" s="3" t="s">
        <v>0</v>
      </c>
      <c r="C3" s="3" t="s">
        <v>1</v>
      </c>
      <c r="D3" s="4" t="s">
        <v>2</v>
      </c>
    </row>
    <row r="4" ht="14.25" customHeight="1">
      <c r="B4" s="5" t="s">
        <v>3</v>
      </c>
      <c r="C4" s="6">
        <f t="shared" ref="C4:C8" si="0">SUMIF($F$13:$F$100,B4,$E$13:$E$100)</f>
        <v>11</v>
      </c>
      <c r="D4" s="7">
        <f t="shared" ref="D4:D8" si="1">COUNTIF($F$13:$F$100,B4)</f>
        <v>3</v>
      </c>
    </row>
    <row r="5" ht="14.25" customHeight="1">
      <c r="B5" s="8" t="s">
        <v>4</v>
      </c>
      <c r="C5" s="6">
        <f t="shared" si="0"/>
        <v>10</v>
      </c>
      <c r="D5" s="7">
        <f t="shared" si="1"/>
        <v>2</v>
      </c>
    </row>
    <row r="6" ht="14.4">
      <c r="B6" s="8" t="s">
        <v>5</v>
      </c>
      <c r="C6" s="6">
        <f t="shared" si="0"/>
        <v>11</v>
      </c>
      <c r="D6" s="7">
        <f t="shared" si="1"/>
        <v>3</v>
      </c>
    </row>
    <row r="7" ht="14.4">
      <c r="B7" s="8" t="s">
        <v>6</v>
      </c>
      <c r="C7" s="6">
        <f t="shared" si="0"/>
        <v>10</v>
      </c>
      <c r="D7" s="7">
        <f t="shared" si="1"/>
        <v>3</v>
      </c>
    </row>
    <row r="8" ht="16.800000000000001" customHeight="1">
      <c r="B8" s="9" t="s">
        <v>7</v>
      </c>
      <c r="C8" s="6">
        <f t="shared" si="0"/>
        <v>11</v>
      </c>
      <c r="D8" s="10">
        <f t="shared" si="1"/>
        <v>3</v>
      </c>
      <c r="H8" s="11"/>
    </row>
    <row r="9" ht="14.4">
      <c r="B9" s="12" t="s">
        <v>8</v>
      </c>
      <c r="C9" s="13">
        <f>SUM(C4:C8)</f>
        <v>53</v>
      </c>
    </row>
    <row r="10" ht="15" customHeight="1"/>
    <row r="11" ht="15" customHeight="1"/>
    <row r="12" ht="17.25" customHeight="1"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</row>
    <row r="13" ht="71.25">
      <c r="B13" s="14" t="s">
        <v>14</v>
      </c>
      <c r="C13" s="15" t="s">
        <v>15</v>
      </c>
      <c r="D13" s="14" t="s">
        <v>16</v>
      </c>
      <c r="E13" s="16">
        <v>3</v>
      </c>
      <c r="F13" s="17" t="s">
        <v>3</v>
      </c>
    </row>
    <row r="14" ht="42.75">
      <c r="B14" s="18" t="s">
        <v>14</v>
      </c>
      <c r="C14" s="19" t="s">
        <v>17</v>
      </c>
      <c r="D14" s="18" t="s">
        <v>18</v>
      </c>
      <c r="E14" s="20">
        <v>2</v>
      </c>
      <c r="F14" s="17" t="s">
        <v>6</v>
      </c>
    </row>
    <row r="15" ht="57">
      <c r="B15" s="18" t="s">
        <v>14</v>
      </c>
      <c r="C15" s="19" t="s">
        <v>19</v>
      </c>
      <c r="D15" s="18" t="s">
        <v>20</v>
      </c>
      <c r="E15" s="20">
        <v>3</v>
      </c>
      <c r="F15" s="17" t="s">
        <v>3</v>
      </c>
    </row>
    <row r="16" ht="85.5">
      <c r="B16" s="21" t="s">
        <v>14</v>
      </c>
      <c r="C16" s="22" t="s">
        <v>21</v>
      </c>
      <c r="D16" s="21" t="s">
        <v>22</v>
      </c>
      <c r="E16" s="23">
        <v>5</v>
      </c>
      <c r="F16" s="24" t="s">
        <v>3</v>
      </c>
    </row>
    <row r="17" ht="71.25">
      <c r="B17" s="25" t="s">
        <v>23</v>
      </c>
      <c r="C17" s="26" t="s">
        <v>24</v>
      </c>
      <c r="D17" s="25" t="s">
        <v>25</v>
      </c>
      <c r="E17" s="16">
        <v>5</v>
      </c>
      <c r="F17" s="27" t="s">
        <v>4</v>
      </c>
    </row>
    <row r="18" ht="57">
      <c r="B18" s="28" t="s">
        <v>23</v>
      </c>
      <c r="C18" s="29" t="s">
        <v>26</v>
      </c>
      <c r="D18" s="28" t="s">
        <v>27</v>
      </c>
      <c r="E18" s="30">
        <v>5</v>
      </c>
      <c r="F18" s="27" t="s">
        <v>4</v>
      </c>
    </row>
    <row r="19" ht="42.75">
      <c r="B19" s="31" t="s">
        <v>23</v>
      </c>
      <c r="C19" s="32" t="s">
        <v>28</v>
      </c>
      <c r="D19" s="31" t="s">
        <v>29</v>
      </c>
      <c r="E19" s="33">
        <v>5</v>
      </c>
      <c r="F19" s="27" t="s">
        <v>5</v>
      </c>
    </row>
    <row r="20" ht="42.75">
      <c r="B20" s="31" t="s">
        <v>23</v>
      </c>
      <c r="C20" s="32" t="s">
        <v>30</v>
      </c>
      <c r="D20" s="31" t="s">
        <v>31</v>
      </c>
      <c r="E20" s="33">
        <v>5</v>
      </c>
      <c r="F20" s="27" t="s">
        <v>6</v>
      </c>
    </row>
    <row r="21" ht="57">
      <c r="B21" s="31" t="s">
        <v>23</v>
      </c>
      <c r="C21" s="32" t="s">
        <v>32</v>
      </c>
      <c r="D21" s="31" t="s">
        <v>33</v>
      </c>
      <c r="E21" s="33">
        <v>3</v>
      </c>
      <c r="F21" s="27" t="s">
        <v>7</v>
      </c>
    </row>
    <row r="22" ht="42.75">
      <c r="B22" s="31" t="s">
        <v>23</v>
      </c>
      <c r="C22" s="32" t="s">
        <v>34</v>
      </c>
      <c r="D22" s="31" t="s">
        <v>35</v>
      </c>
      <c r="E22" s="33">
        <v>3</v>
      </c>
      <c r="F22" s="27" t="s">
        <v>6</v>
      </c>
    </row>
    <row r="23" ht="42.75">
      <c r="B23" s="34" t="s">
        <v>23</v>
      </c>
      <c r="C23" s="35" t="s">
        <v>36</v>
      </c>
      <c r="D23" s="34" t="s">
        <v>37</v>
      </c>
      <c r="E23" s="36">
        <v>3</v>
      </c>
      <c r="F23" s="37" t="s">
        <v>7</v>
      </c>
    </row>
    <row r="24" ht="57">
      <c r="B24" s="14" t="s">
        <v>38</v>
      </c>
      <c r="C24" s="15" t="s">
        <v>39</v>
      </c>
      <c r="D24" s="14" t="s">
        <v>40</v>
      </c>
      <c r="E24" s="16">
        <v>5</v>
      </c>
      <c r="F24" s="17" t="s">
        <v>7</v>
      </c>
    </row>
    <row r="25" ht="42.75">
      <c r="B25" s="18" t="s">
        <v>38</v>
      </c>
      <c r="C25" s="19" t="s">
        <v>41</v>
      </c>
      <c r="D25" s="18" t="s">
        <v>42</v>
      </c>
      <c r="E25" s="20">
        <v>3</v>
      </c>
      <c r="F25" s="17" t="s">
        <v>5</v>
      </c>
    </row>
    <row r="26" ht="42.75">
      <c r="B26" s="21" t="s">
        <v>38</v>
      </c>
      <c r="C26" s="22" t="s">
        <v>43</v>
      </c>
      <c r="D26" s="38" t="s">
        <v>44</v>
      </c>
      <c r="E26" s="23">
        <v>3</v>
      </c>
      <c r="F26" s="24" t="s">
        <v>5</v>
      </c>
    </row>
    <row r="27" ht="14.4">
      <c r="E27" s="39" t="s">
        <v>8</v>
      </c>
      <c r="F27" s="40">
        <f>SUM(E13:E26)</f>
        <v>53</v>
      </c>
    </row>
    <row r="28" ht="57" customHeight="1"/>
    <row r="29" ht="42.75" customHeight="1"/>
    <row r="30" ht="42.75" customHeight="1"/>
    <row r="31" ht="57" customHeight="1"/>
    <row r="32" ht="57" customHeight="1"/>
    <row r="33" ht="42.75" customHeight="1"/>
    <row r="34" ht="57" customHeight="1"/>
    <row r="35" ht="14.25" customHeight="1"/>
  </sheetData>
  <sheetProtection algorithmName="SHA-512" hashValue="8BS5AFDeWUp2uXkKLLl8ly842sWzr9SnZl7yXA4vXP6V9XfoW3pgR5z7lHslR5YkWRDBTAO47cvP/wC6qeaHrg==" saltValue="ip0g8D5p8msBvm9OXhJ/Qw==" spinCount="100000" autoFilter="1" deleteColumns="1" deleteRows="1" formatCells="1" formatColumns="1" formatRows="1" insertColumns="1" insertHyperlinks="1" insertRows="1" objects="1" pivotTables="1" scenarios="1" selectLockedCells="1" selectUnlockedCells="1" sheet="1" sort="1"/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aboveAverage" priority="6" stdDev="0" id="{2D8B64D1-FB8F-4B6B-84E0-F677FA877F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aboveAverage" priority="5" stdDev="0" id="{9240CF11-6FB7-4565-B702-7638449FBF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aboveAverage" priority="4" aboveAverage="0" stdDev="0" id="{C8034D67-DE06-485D-A56C-04ED30333175}"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cellIs" priority="3" operator="greaterThan" id="{175B8E6F-B499-4ED5-B87B-DB230E9AB56C}">
            <xm:f>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E13:E26</xm:sqref>
        </x14:conditionalFormatting>
        <x14:conditionalFormatting xmlns:xm="http://schemas.microsoft.com/office/excel/2006/main">
          <x14:cfRule type="cellIs" priority="2" operator="lessThan" id="{85DA5DD3-6291-4E46-B442-6962E391F98C}">
            <xm:f>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E13:E26</xm:sqref>
        </x14:conditionalFormatting>
        <x14:conditionalFormatting xmlns:xm="http://schemas.microsoft.com/office/excel/2006/main">
          <x14:cfRule type="cellIs" priority="1" operator="equal" id="{2D39660B-5339-4C74-AF9E-19FA65971520}">
            <xm:f>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E13:E26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3F79E6A-81B2-4ECD-8322-0994804E9EDE}" type="none" allowBlank="1" errorStyle="stop" imeMode="noControl" operator="between" showDropDown="0" showErrorMessage="1" showInputMessage="1">
          <x14:formula1>
            <xm:f>0</xm:f>
          </x14:formula1>
          <x14:formula2>
            <xm:f>0</xm:f>
          </x14:formula2>
          <xm:sqref>B4:B8</xm:sqref>
        </x14:dataValidation>
        <x14:dataValidation xr:uid="{4CBF71D5-E3D2-4EB7-A748-2244BF99187A}" type="list" allowBlank="1" errorStyle="stop" imeMode="noControl" operator="between" showDropDown="0" showErrorMessage="1" showInputMessage="1">
          <x14:formula1>
            <xm:f>$B$4:$B$8</xm:f>
          </x14:formula1>
          <xm:sqref>F13 F14 F15 F16 F17 F18 F19 F20 F21 F22 F23 F24 F25 F26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AskingMansOz</dc:creator>
  <dc:description/>
  <dc:language>en-US</dc:language>
  <cp:revision>15</cp:revision>
  <dcterms:created xsi:type="dcterms:W3CDTF">2015-06-05T18:19:34Z</dcterms:created>
  <dcterms:modified xsi:type="dcterms:W3CDTF">2026-10-06T03:19:04Z</dcterms:modified>
</cp:coreProperties>
</file>